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ajaWeb\data\"/>
    </mc:Choice>
  </mc:AlternateContent>
  <xr:revisionPtr revIDLastSave="0" documentId="13_ncr:1_{B75B522C-921B-43B3-B48F-3A844DEBAA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ja" sheetId="1" r:id="rId1"/>
    <sheet name="Ast. Caja" sheetId="2" r:id="rId2"/>
  </sheets>
  <definedNames>
    <definedName name="SegmentaciónDeDatos_Responsabe_caja___Facturación">#N/A</definedName>
  </definedNames>
  <calcPr calcId="191029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rJ5p4tsjf1OqhqRFT+HPOScKNpU4+EKsMecZ9f5bxE="/>
    </ext>
  </extLst>
</workbook>
</file>

<file path=xl/calcChain.xml><?xml version="1.0" encoding="utf-8"?>
<calcChain xmlns="http://schemas.openxmlformats.org/spreadsheetml/2006/main">
  <c r="C37" i="1" l="1"/>
  <c r="C33" i="1"/>
  <c r="C32" i="1"/>
  <c r="C31" i="1"/>
  <c r="C30" i="1"/>
  <c r="C29" i="1"/>
  <c r="C28" i="1"/>
  <c r="C27" i="1"/>
  <c r="C26" i="1"/>
  <c r="C25" i="1"/>
  <c r="C24" i="1"/>
  <c r="C23" i="1"/>
  <c r="C22" i="1"/>
  <c r="C34" i="1" s="1"/>
</calcChain>
</file>

<file path=xl/sharedStrings.xml><?xml version="1.0" encoding="utf-8"?>
<sst xmlns="http://schemas.openxmlformats.org/spreadsheetml/2006/main" count="78" uniqueCount="40">
  <si>
    <t>FECHA</t>
  </si>
  <si>
    <t>Fecha</t>
  </si>
  <si>
    <t>Responsabe caja / Facturación</t>
  </si>
  <si>
    <t>Robinsson</t>
  </si>
  <si>
    <t>Esteban</t>
  </si>
  <si>
    <t>Etiquetas de fila</t>
  </si>
  <si>
    <t>Total general</t>
  </si>
  <si>
    <t>Días Operandos</t>
  </si>
  <si>
    <t>Día</t>
  </si>
  <si>
    <t>Domingo</t>
  </si>
  <si>
    <t>Lunes</t>
  </si>
  <si>
    <t>Martes</t>
  </si>
  <si>
    <t>Miercoles</t>
  </si>
  <si>
    <t>Jueves</t>
  </si>
  <si>
    <t>Viernes</t>
  </si>
  <si>
    <t>Usuario invitado</t>
  </si>
  <si>
    <t>Sábado</t>
  </si>
  <si>
    <t>CAJA</t>
  </si>
  <si>
    <t xml:space="preserve">MERCADO LIBRE </t>
  </si>
  <si>
    <t xml:space="preserve">TOTAL LOCAL </t>
  </si>
  <si>
    <t xml:space="preserve">LOCAL EN EFECTIVO </t>
  </si>
  <si>
    <t>Observanción</t>
  </si>
  <si>
    <t>DISTRIBUCIÓN</t>
  </si>
  <si>
    <t>Añadir $ Ingresos/ Gastos/Depositos</t>
  </si>
  <si>
    <t>Añadir USD Ingresos/ Gastos/Depositos</t>
  </si>
  <si>
    <t>TOTAL USD</t>
  </si>
  <si>
    <t>TOTAL $</t>
  </si>
  <si>
    <t xml:space="preserve">Sobrante $: </t>
  </si>
  <si>
    <t>Faltante $:</t>
  </si>
  <si>
    <t>Saldo final de caja USD</t>
  </si>
  <si>
    <t>Saldo final de caja $</t>
  </si>
  <si>
    <t>Sobrante USD:</t>
  </si>
  <si>
    <t>Faltante USD:</t>
  </si>
  <si>
    <t>CANTIDAD</t>
  </si>
  <si>
    <t>DOLARES USD</t>
  </si>
  <si>
    <t>PESOS $</t>
  </si>
  <si>
    <t>°</t>
  </si>
  <si>
    <t>ESTEBAN</t>
  </si>
  <si>
    <t>Saldo inicial de caja Ingreso de Caja Efectivo USD</t>
  </si>
  <si>
    <t>Saldo inicial de caja Ingreso de Caja Efectivo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</si>
</sst>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;[Red]\-&quot;$&quot;\ #,##0"/>
    <numFmt numFmtId="165" formatCode="&quot;$&quot;\ #,##0.00;[Red]\-&quot;$&quot;\ #,##0.00"/>
    <numFmt numFmtId="166" formatCode="[$USD]\ #,##0.00"/>
    <numFmt numFmtId="167" formatCode="[$UYU]\ #,##0.00"/>
    <numFmt numFmtId="168" formatCode="[$UYU]\ #,##0.00;\-[$UYU]\ 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9"/>
      <color theme="1"/>
      <name val="Montserrat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0" xfId="0" applyFont="1" applyAlignment="1">
      <alignment horizontal="center"/>
    </xf>
    <xf numFmtId="3" fontId="1" fillId="0" borderId="0" xfId="0" applyNumberFormat="1" applyFont="1"/>
    <xf numFmtId="4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4" fontId="3" fillId="0" borderId="0" xfId="0" applyNumberFormat="1" applyFont="1"/>
    <xf numFmtId="16" fontId="1" fillId="0" borderId="0" xfId="0" applyNumberFormat="1" applyFont="1"/>
    <xf numFmtId="0" fontId="1" fillId="0" borderId="0" xfId="0" applyFont="1" applyAlignment="1">
      <alignment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165" fontId="1" fillId="0" borderId="0" xfId="0" applyNumberFormat="1" applyFont="1"/>
    <xf numFmtId="4" fontId="4" fillId="0" borderId="0" xfId="0" applyNumberFormat="1" applyFont="1" applyAlignment="1">
      <alignment horizontal="right"/>
    </xf>
    <xf numFmtId="0" fontId="2" fillId="0" borderId="3" xfId="0" applyFont="1" applyBorder="1"/>
    <xf numFmtId="0" fontId="2" fillId="0" borderId="8" xfId="0" applyFont="1" applyBorder="1"/>
    <xf numFmtId="0" fontId="2" fillId="0" borderId="10" xfId="0" applyFont="1" applyBorder="1"/>
    <xf numFmtId="0" fontId="1" fillId="0" borderId="5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3" fillId="3" borderId="9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7" fontId="1" fillId="0" borderId="13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6" fontId="1" fillId="0" borderId="13" xfId="0" applyNumberFormat="1" applyFont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167" fontId="1" fillId="0" borderId="11" xfId="0" applyNumberFormat="1" applyFont="1" applyBorder="1" applyAlignment="1">
      <alignment vertical="center"/>
    </xf>
    <xf numFmtId="167" fontId="3" fillId="0" borderId="12" xfId="0" applyNumberFormat="1" applyFont="1" applyBorder="1" applyAlignment="1">
      <alignment vertical="center"/>
    </xf>
    <xf numFmtId="14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/m/yyyy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0</xdr:colOff>
      <xdr:row>7</xdr:row>
      <xdr:rowOff>76201</xdr:rowOff>
    </xdr:from>
    <xdr:to>
      <xdr:col>6</xdr:col>
      <xdr:colOff>487680</xdr:colOff>
      <xdr:row>12</xdr:row>
      <xdr:rowOff>137161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Responsabe caja / Facturación">
              <a:extLst>
                <a:ext uri="{FF2B5EF4-FFF2-40B4-BE49-F238E27FC236}">
                  <a16:creationId xmlns:a16="http://schemas.microsoft.com/office/drawing/2014/main" id="{8FFCEB1D-1650-0F8A-0E21-804252AC4C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e caja / Factur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2520" y="1356361"/>
              <a:ext cx="2590800" cy="975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i" refreshedDate="46187.76020138889" createdVersion="8" refreshedVersion="8" minRefreshableVersion="3" recordCount="31" xr:uid="{B23DE1E9-5EF4-409B-9581-F4433BEB66ED}">
  <cacheSource type="worksheet">
    <worksheetSource name="Tabla2"/>
  </cacheSource>
  <cacheFields count="3">
    <cacheField name="Fecha" numFmtId="14">
      <sharedItems containsSemiMixedTypes="0" containsNonDate="0" containsDate="1" containsString="0" minDate="2026-03-01T00:00:00" maxDate="2026-04-01T00:00:00" count="31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</cacheField>
    <cacheField name="Responsabe caja / Facturación" numFmtId="0">
      <sharedItems count="2">
        <s v="Robinsson"/>
        <s v="Esteban"/>
      </sharedItems>
    </cacheField>
    <cacheField name="Mes" numFmtId="0">
      <sharedItems count="1">
        <s v="marz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</r>
  <r>
    <x v="1"/>
    <x v="0"/>
    <x v="0"/>
  </r>
  <r>
    <x v="2"/>
    <x v="0"/>
    <x v="0"/>
  </r>
  <r>
    <x v="3"/>
    <x v="0"/>
    <x v="0"/>
  </r>
  <r>
    <x v="4"/>
    <x v="0"/>
    <x v="0"/>
  </r>
  <r>
    <x v="5"/>
    <x v="0"/>
    <x v="0"/>
  </r>
  <r>
    <x v="6"/>
    <x v="0"/>
    <x v="0"/>
  </r>
  <r>
    <x v="7"/>
    <x v="0"/>
    <x v="0"/>
  </r>
  <r>
    <x v="8"/>
    <x v="0"/>
    <x v="0"/>
  </r>
  <r>
    <x v="9"/>
    <x v="0"/>
    <x v="0"/>
  </r>
  <r>
    <x v="10"/>
    <x v="0"/>
    <x v="0"/>
  </r>
  <r>
    <x v="11"/>
    <x v="0"/>
    <x v="0"/>
  </r>
  <r>
    <x v="12"/>
    <x v="0"/>
    <x v="0"/>
  </r>
  <r>
    <x v="13"/>
    <x v="0"/>
    <x v="0"/>
  </r>
  <r>
    <x v="14"/>
    <x v="0"/>
    <x v="0"/>
  </r>
  <r>
    <x v="15"/>
    <x v="0"/>
    <x v="0"/>
  </r>
  <r>
    <x v="16"/>
    <x v="0"/>
    <x v="0"/>
  </r>
  <r>
    <x v="17"/>
    <x v="0"/>
    <x v="0"/>
  </r>
  <r>
    <x v="18"/>
    <x v="0"/>
    <x v="0"/>
  </r>
  <r>
    <x v="19"/>
    <x v="0"/>
    <x v="0"/>
  </r>
  <r>
    <x v="20"/>
    <x v="0"/>
    <x v="0"/>
  </r>
  <r>
    <x v="21"/>
    <x v="0"/>
    <x v="0"/>
  </r>
  <r>
    <x v="22"/>
    <x v="0"/>
    <x v="0"/>
  </r>
  <r>
    <x v="23"/>
    <x v="0"/>
    <x v="0"/>
  </r>
  <r>
    <x v="24"/>
    <x v="0"/>
    <x v="0"/>
  </r>
  <r>
    <x v="25"/>
    <x v="0"/>
    <x v="0"/>
  </r>
  <r>
    <x v="26"/>
    <x v="0"/>
    <x v="0"/>
  </r>
  <r>
    <x v="27"/>
    <x v="0"/>
    <x v="0"/>
  </r>
  <r>
    <x v="28"/>
    <x v="1"/>
    <x v="0"/>
  </r>
  <r>
    <x v="29"/>
    <x v="1"/>
    <x v="0"/>
  </r>
  <r>
    <x v="3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8C128-57BD-4BA6-9329-9ECDAC3BE72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:F5" firstHeaderRow="1" firstDataRow="1" firstDataCol="1"/>
  <pivotFields count="3">
    <pivotField dataField="1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Días Operando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e_caja___Facturación" xr10:uid="{7D171E87-FBEA-471B-89C5-D05C1AE01E5C}" sourceName="Responsabe caja / Facturación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ponsabe caja / Facturación" xr10:uid="{5BDF8BCC-326F-4CA4-A49A-50C429EF996B}" cache="SegmentaciónDeDatos_Responsabe_caja___Facturación" caption="Responsabe caja / Facturación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8FBEA-2723-4E30-A7A3-EE09CB589961}" name="Tabla1" displayName="Tabla1" ref="A2:B19" totalsRowShown="0" headerRowDxfId="8">
  <autoFilter ref="A2:B19" xr:uid="{D628FBEA-2723-4E30-A7A3-EE09CB589961}"/>
  <tableColumns count="2">
    <tableColumn id="1" xr3:uid="{79040DF9-6140-4B40-A818-04AE93141157}" name="CAJA" dataDxfId="7"/>
    <tableColumn id="2" xr3:uid="{0B252C8D-8293-4237-BBD5-BAF96E2CDDFF}" name="FECH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A0499C-ABC1-4A51-8B8E-0AC6FE2A381A}" name="Tabla2" displayName="Tabla2" ref="A1:C32" totalsRowShown="0" headerRowBorderDxfId="5" tableBorderDxfId="4" totalsRowBorderDxfId="3">
  <autoFilter ref="A1:C32" xr:uid="{17A0499C-ABC1-4A51-8B8E-0AC6FE2A381A}"/>
  <tableColumns count="3">
    <tableColumn id="1" xr3:uid="{9F4F8B6A-2F24-45C4-A276-B6CAF8185562}" name="Fecha" dataDxfId="2"/>
    <tableColumn id="2" xr3:uid="{7E737E3E-9188-417A-9A59-D358C01CAE56}" name="Responsabe caja / Facturación" dataDxfId="1"/>
    <tableColumn id="3" xr3:uid="{804D7267-B7A8-4ABD-B27A-25995E75CC28}" name="Día" dataDxfId="0">
      <calculatedColumnFormula>TEXT(Tabla2[[#This Row],[Fecha]],"mmmm")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4"/>
  <sheetViews>
    <sheetView tabSelected="1" zoomScale="80" zoomScaleNormal="80" workbookViewId="0">
      <selection activeCell="A19" sqref="A19"/>
    </sheetView>
  </sheetViews>
  <sheetFormatPr baseColWidth="10" defaultColWidth="14.44140625" defaultRowHeight="15" customHeight="1" x14ac:dyDescent="0.3"/>
  <cols>
    <col min="1" max="1" width="49.109375" bestFit="1" customWidth="1"/>
    <col min="2" max="2" width="15.77734375" bestFit="1" customWidth="1"/>
    <col min="3" max="3" width="13.21875" bestFit="1" customWidth="1"/>
    <col min="4" max="4" width="6" bestFit="1" customWidth="1"/>
    <col min="5" max="5" width="18.6640625" customWidth="1"/>
    <col min="6" max="6" width="36.109375" customWidth="1"/>
    <col min="7" max="7" width="22.44140625" customWidth="1"/>
    <col min="8" max="8" width="32.33203125" customWidth="1"/>
    <col min="9" max="9" width="130" customWidth="1"/>
    <col min="10" max="10" width="11.88671875" customWidth="1"/>
    <col min="11" max="25" width="10.6640625" customWidth="1"/>
  </cols>
  <sheetData>
    <row r="1" spans="1:12" ht="14.4" x14ac:dyDescent="0.3">
      <c r="I1" s="1"/>
    </row>
    <row r="2" spans="1:12" ht="15" customHeight="1" x14ac:dyDescent="0.3">
      <c r="A2" s="3" t="s">
        <v>17</v>
      </c>
      <c r="B2" s="50" t="s">
        <v>0</v>
      </c>
      <c r="C2" s="3"/>
      <c r="D2" s="3"/>
      <c r="E2" s="3"/>
      <c r="F2" s="3"/>
      <c r="I2" s="1"/>
    </row>
    <row r="3" spans="1:12" ht="15" customHeight="1" x14ac:dyDescent="0.3">
      <c r="A3" s="3" t="s">
        <v>37</v>
      </c>
      <c r="B3" s="49">
        <v>46094</v>
      </c>
      <c r="C3" s="3"/>
      <c r="D3" s="3"/>
      <c r="E3" s="3"/>
      <c r="F3" s="3"/>
      <c r="I3" s="1"/>
    </row>
    <row r="4" spans="1:12" ht="15" customHeight="1" x14ac:dyDescent="0.3">
      <c r="A4" s="3" t="s">
        <v>39</v>
      </c>
      <c r="B4" s="28">
        <v>3922100</v>
      </c>
      <c r="C4" s="3"/>
      <c r="D4" s="3"/>
      <c r="E4" s="3"/>
      <c r="F4" s="3"/>
      <c r="G4" s="4"/>
      <c r="I4" s="1"/>
    </row>
    <row r="5" spans="1:12" ht="15" customHeight="1" x14ac:dyDescent="0.3">
      <c r="A5" s="26" t="s">
        <v>23</v>
      </c>
      <c r="B5" s="28">
        <v>0</v>
      </c>
      <c r="C5" s="3"/>
      <c r="D5" s="3"/>
      <c r="E5" s="3"/>
      <c r="F5" s="3"/>
      <c r="G5" s="4"/>
      <c r="I5" s="1"/>
    </row>
    <row r="6" spans="1:12" ht="15" customHeight="1" x14ac:dyDescent="0.3">
      <c r="A6" s="3" t="s">
        <v>38</v>
      </c>
      <c r="B6" s="27">
        <v>5</v>
      </c>
      <c r="C6" s="3"/>
      <c r="D6" s="3"/>
      <c r="E6" s="3"/>
      <c r="F6" s="3"/>
      <c r="G6" s="4"/>
      <c r="I6" s="1"/>
    </row>
    <row r="7" spans="1:12" ht="15" customHeight="1" x14ac:dyDescent="0.3">
      <c r="A7" s="26" t="s">
        <v>24</v>
      </c>
      <c r="B7" s="27">
        <v>0</v>
      </c>
      <c r="C7" s="3"/>
      <c r="D7" s="3"/>
      <c r="E7" s="3"/>
      <c r="F7" s="3"/>
      <c r="G7" s="4"/>
      <c r="I7" s="1"/>
    </row>
    <row r="8" spans="1:12" ht="16.2" customHeight="1" x14ac:dyDescent="0.3">
      <c r="A8" s="3" t="s">
        <v>26</v>
      </c>
      <c r="B8" s="29"/>
      <c r="C8" s="3"/>
      <c r="D8" s="3"/>
      <c r="E8" s="3"/>
      <c r="I8" s="1"/>
      <c r="K8" s="5"/>
    </row>
    <row r="9" spans="1:12" ht="14.4" customHeight="1" x14ac:dyDescent="0.3">
      <c r="A9" s="3" t="s">
        <v>18</v>
      </c>
      <c r="B9" s="28">
        <v>16847</v>
      </c>
      <c r="C9" s="3"/>
      <c r="D9" s="3"/>
      <c r="E9" s="3"/>
      <c r="I9" s="1"/>
      <c r="K9" s="5"/>
    </row>
    <row r="10" spans="1:12" ht="14.4" customHeight="1" x14ac:dyDescent="0.3">
      <c r="A10" s="3" t="s">
        <v>22</v>
      </c>
      <c r="B10" s="3"/>
      <c r="C10" s="3"/>
      <c r="D10" s="3"/>
      <c r="E10" s="3"/>
      <c r="I10" s="1"/>
      <c r="K10" s="5"/>
    </row>
    <row r="11" spans="1:12" ht="14.4" customHeight="1" x14ac:dyDescent="0.3">
      <c r="A11" s="3" t="s">
        <v>19</v>
      </c>
      <c r="B11" s="28">
        <v>1932737</v>
      </c>
      <c r="C11" s="3"/>
      <c r="D11" s="3"/>
      <c r="E11" s="3"/>
      <c r="G11" s="5"/>
      <c r="I11" s="1"/>
      <c r="K11" s="5"/>
    </row>
    <row r="12" spans="1:12" ht="14.4" customHeight="1" x14ac:dyDescent="0.3">
      <c r="A12" s="3" t="s">
        <v>20</v>
      </c>
      <c r="B12" s="28">
        <v>206700</v>
      </c>
      <c r="C12" s="3"/>
      <c r="D12" s="3"/>
      <c r="E12" s="3"/>
      <c r="G12" s="6"/>
      <c r="H12" s="5"/>
      <c r="I12" s="7"/>
      <c r="J12" s="6"/>
      <c r="K12" s="8"/>
      <c r="L12" s="2"/>
    </row>
    <row r="13" spans="1:12" ht="14.4" customHeight="1" x14ac:dyDescent="0.3">
      <c r="A13" s="3" t="s">
        <v>30</v>
      </c>
      <c r="B13" s="28">
        <v>68031</v>
      </c>
      <c r="C13" s="3"/>
      <c r="D13" s="3"/>
      <c r="E13" s="3"/>
      <c r="F13" s="2"/>
      <c r="G13" s="5"/>
      <c r="H13" s="2"/>
      <c r="I13" s="2"/>
      <c r="J13" s="5"/>
      <c r="K13" s="2"/>
      <c r="L13" s="2"/>
    </row>
    <row r="14" spans="1:12" ht="14.4" customHeight="1" x14ac:dyDescent="0.3">
      <c r="A14" s="26" t="s">
        <v>27</v>
      </c>
      <c r="B14" s="28"/>
      <c r="C14" s="3"/>
      <c r="D14" s="3"/>
      <c r="E14" s="3"/>
      <c r="F14" s="5"/>
      <c r="G14" s="2"/>
      <c r="I14" s="2"/>
      <c r="J14" s="2"/>
      <c r="K14" s="9"/>
      <c r="L14" s="2"/>
    </row>
    <row r="15" spans="1:12" ht="14.4" x14ac:dyDescent="0.3">
      <c r="A15" s="26" t="s">
        <v>28</v>
      </c>
      <c r="B15" s="28"/>
      <c r="C15" s="3"/>
      <c r="D15" s="3"/>
      <c r="E15" s="3"/>
      <c r="F15" s="10"/>
      <c r="G15" s="5"/>
      <c r="I15" s="2"/>
      <c r="J15" s="2"/>
      <c r="K15" s="9"/>
      <c r="L15" s="2"/>
    </row>
    <row r="16" spans="1:12" ht="14.4" x14ac:dyDescent="0.3">
      <c r="A16" s="3" t="s">
        <v>29</v>
      </c>
      <c r="B16" s="27">
        <v>5</v>
      </c>
      <c r="C16" s="3"/>
      <c r="D16" s="3"/>
      <c r="E16" s="3"/>
      <c r="F16" s="10"/>
      <c r="G16" s="2"/>
      <c r="H16" s="2"/>
      <c r="I16" s="2"/>
      <c r="J16" s="2"/>
      <c r="K16" s="9"/>
      <c r="L16" s="2"/>
    </row>
    <row r="17" spans="1:12" ht="14.4" x14ac:dyDescent="0.3">
      <c r="A17" s="26" t="s">
        <v>31</v>
      </c>
      <c r="B17" s="27"/>
      <c r="C17" s="3"/>
      <c r="D17" s="3"/>
      <c r="E17" s="3"/>
      <c r="F17" s="10"/>
      <c r="G17" s="2"/>
      <c r="H17" s="2"/>
      <c r="I17" s="2"/>
      <c r="J17" s="2"/>
      <c r="K17" s="9"/>
      <c r="L17" s="2"/>
    </row>
    <row r="18" spans="1:12" ht="14.4" x14ac:dyDescent="0.3">
      <c r="A18" s="26" t="s">
        <v>32</v>
      </c>
      <c r="B18" s="27"/>
      <c r="C18" s="3"/>
      <c r="D18" s="3"/>
      <c r="E18" s="3"/>
      <c r="F18" s="10"/>
      <c r="G18" s="2"/>
      <c r="H18" s="2"/>
      <c r="I18" s="2"/>
      <c r="J18" s="2"/>
      <c r="K18" s="9"/>
      <c r="L18" s="2"/>
    </row>
    <row r="19" spans="1:12" ht="14.4" x14ac:dyDescent="0.3">
      <c r="A19" s="26" t="s">
        <v>21</v>
      </c>
      <c r="B19" s="3"/>
      <c r="C19" s="3"/>
      <c r="D19" s="3"/>
      <c r="E19" s="3"/>
      <c r="F19" s="11"/>
      <c r="G19" s="5"/>
      <c r="H19" s="2"/>
      <c r="I19" s="2"/>
      <c r="J19" s="2"/>
      <c r="K19" s="9"/>
      <c r="L19" s="2"/>
    </row>
    <row r="20" spans="1:12" ht="14.4" x14ac:dyDescent="0.3">
      <c r="A20" s="2"/>
      <c r="B20" s="3"/>
      <c r="C20" s="3"/>
      <c r="D20" s="3"/>
      <c r="E20" s="3"/>
      <c r="F20" s="2"/>
      <c r="G20" s="5"/>
      <c r="H20" s="2"/>
      <c r="I20" s="2"/>
      <c r="J20" s="2"/>
      <c r="K20" s="9"/>
      <c r="L20" s="2"/>
    </row>
    <row r="21" spans="1:12" ht="14.4" x14ac:dyDescent="0.3">
      <c r="A21" s="41" t="s">
        <v>35</v>
      </c>
      <c r="B21" s="43" t="s">
        <v>33</v>
      </c>
      <c r="C21" s="42" t="s">
        <v>26</v>
      </c>
      <c r="D21" s="5"/>
      <c r="E21" s="2"/>
      <c r="F21" s="2"/>
      <c r="G21" s="12"/>
      <c r="H21" s="13"/>
      <c r="I21" s="2"/>
      <c r="J21" s="2"/>
      <c r="K21" s="9"/>
      <c r="L21" s="2"/>
    </row>
    <row r="22" spans="1:12" ht="14.4" x14ac:dyDescent="0.3">
      <c r="A22" s="33">
        <v>1</v>
      </c>
      <c r="B22" s="34">
        <v>115</v>
      </c>
      <c r="C22" s="38">
        <f t="shared" ref="C22:C33" si="0">A22*B22</f>
        <v>115</v>
      </c>
      <c r="D22" s="2"/>
      <c r="E22" s="2"/>
      <c r="F22" s="2"/>
      <c r="G22" s="12"/>
      <c r="H22" s="11"/>
      <c r="I22" s="2"/>
      <c r="J22" s="2"/>
      <c r="K22" s="2"/>
      <c r="L22" s="2"/>
    </row>
    <row r="23" spans="1:12" x14ac:dyDescent="0.35">
      <c r="A23" s="33">
        <v>2</v>
      </c>
      <c r="B23" s="34">
        <v>218</v>
      </c>
      <c r="C23" s="39">
        <f t="shared" si="0"/>
        <v>436</v>
      </c>
      <c r="D23" s="2"/>
      <c r="E23" s="2"/>
      <c r="G23" s="12"/>
      <c r="H23" s="14"/>
      <c r="I23" s="2"/>
      <c r="J23" s="2"/>
      <c r="K23" s="2"/>
      <c r="L23" s="2"/>
    </row>
    <row r="24" spans="1:12" ht="14.4" x14ac:dyDescent="0.3">
      <c r="A24" s="33">
        <v>5</v>
      </c>
      <c r="B24" s="34">
        <v>124</v>
      </c>
      <c r="C24" s="39">
        <f t="shared" si="0"/>
        <v>620</v>
      </c>
      <c r="D24" s="26"/>
      <c r="E24" s="2"/>
      <c r="F24" s="2"/>
      <c r="G24" s="2"/>
      <c r="H24" s="2"/>
      <c r="I24" s="2"/>
      <c r="J24" s="2"/>
      <c r="K24" s="2"/>
      <c r="L24" s="2"/>
    </row>
    <row r="25" spans="1:12" ht="15.75" customHeight="1" x14ac:dyDescent="0.3">
      <c r="A25" s="33">
        <v>10</v>
      </c>
      <c r="B25" s="34">
        <v>5</v>
      </c>
      <c r="C25" s="39">
        <f t="shared" si="0"/>
        <v>50</v>
      </c>
      <c r="D25" s="26"/>
      <c r="E25" s="2"/>
      <c r="F25" s="2"/>
      <c r="G25" s="5"/>
      <c r="H25" s="2"/>
      <c r="I25" s="2"/>
      <c r="J25" s="2"/>
      <c r="K25" s="2"/>
      <c r="L25" s="2"/>
    </row>
    <row r="26" spans="1:12" ht="15.75" customHeight="1" x14ac:dyDescent="0.3">
      <c r="A26" s="33">
        <v>50</v>
      </c>
      <c r="B26" s="34">
        <v>1</v>
      </c>
      <c r="C26" s="39">
        <f t="shared" si="0"/>
        <v>50</v>
      </c>
      <c r="D26" s="26"/>
      <c r="E26" s="2"/>
      <c r="F26" s="2"/>
      <c r="G26" s="2"/>
      <c r="H26" s="11"/>
      <c r="I26" s="2"/>
      <c r="J26" s="2"/>
      <c r="K26" s="2"/>
      <c r="L26" s="2"/>
    </row>
    <row r="27" spans="1:12" ht="15.75" customHeight="1" x14ac:dyDescent="0.3">
      <c r="A27" s="33">
        <v>20</v>
      </c>
      <c r="B27" s="34">
        <v>3</v>
      </c>
      <c r="C27" s="39">
        <f t="shared" si="0"/>
        <v>60</v>
      </c>
      <c r="D27" s="26"/>
      <c r="E27" s="2"/>
      <c r="F27" s="2"/>
      <c r="G27" s="2"/>
      <c r="H27" s="2"/>
      <c r="I27" s="2"/>
      <c r="J27" s="2"/>
      <c r="K27" s="2"/>
      <c r="L27" s="2"/>
    </row>
    <row r="28" spans="1:12" ht="15.75" customHeight="1" x14ac:dyDescent="0.3">
      <c r="A28" s="33">
        <v>50</v>
      </c>
      <c r="B28" s="34">
        <v>14</v>
      </c>
      <c r="C28" s="39">
        <f t="shared" si="0"/>
        <v>700</v>
      </c>
      <c r="D28" s="26"/>
      <c r="F28" s="2"/>
      <c r="G28" s="2"/>
      <c r="H28" s="2"/>
      <c r="I28" s="2"/>
      <c r="J28" s="2"/>
      <c r="K28" s="2"/>
      <c r="L28" s="2"/>
    </row>
    <row r="29" spans="1:12" ht="15.75" customHeight="1" x14ac:dyDescent="0.3">
      <c r="A29" s="33">
        <v>100</v>
      </c>
      <c r="B29" s="34">
        <v>23</v>
      </c>
      <c r="C29" s="39">
        <f t="shared" si="0"/>
        <v>2300</v>
      </c>
      <c r="D29" s="26"/>
      <c r="F29" s="2"/>
      <c r="G29" s="2"/>
      <c r="H29" s="2"/>
      <c r="I29" s="5"/>
      <c r="J29" s="2"/>
      <c r="K29" s="2"/>
      <c r="L29" s="2"/>
    </row>
    <row r="30" spans="1:12" ht="15.75" customHeight="1" x14ac:dyDescent="0.3">
      <c r="A30" s="33">
        <v>200</v>
      </c>
      <c r="B30" s="34">
        <v>11</v>
      </c>
      <c r="C30" s="39">
        <f t="shared" si="0"/>
        <v>2200</v>
      </c>
      <c r="D30" s="26"/>
      <c r="F30" s="2"/>
      <c r="G30" s="2"/>
      <c r="H30" s="2"/>
      <c r="I30" s="2"/>
      <c r="J30" s="2"/>
      <c r="K30" s="2"/>
      <c r="L30" s="2"/>
    </row>
    <row r="31" spans="1:12" ht="15.75" customHeight="1" x14ac:dyDescent="0.3">
      <c r="A31" s="33">
        <v>500</v>
      </c>
      <c r="B31" s="34">
        <v>45</v>
      </c>
      <c r="C31" s="39">
        <f t="shared" si="0"/>
        <v>22500</v>
      </c>
      <c r="D31" s="26"/>
      <c r="F31" s="2"/>
      <c r="G31" s="2"/>
      <c r="H31" s="2"/>
      <c r="I31" s="2"/>
      <c r="J31" s="2"/>
      <c r="K31" s="2"/>
      <c r="L31" s="2"/>
    </row>
    <row r="32" spans="1:12" ht="15.75" customHeight="1" x14ac:dyDescent="0.3">
      <c r="A32" s="33">
        <v>1000</v>
      </c>
      <c r="B32" s="34">
        <v>9</v>
      </c>
      <c r="C32" s="39">
        <f t="shared" si="0"/>
        <v>9000</v>
      </c>
      <c r="D32" s="26"/>
      <c r="F32" s="2"/>
      <c r="G32" s="2"/>
      <c r="H32" s="2"/>
    </row>
    <row r="33" spans="1:12" ht="15.75" customHeight="1" x14ac:dyDescent="0.3">
      <c r="A33" s="35">
        <v>2000</v>
      </c>
      <c r="B33" s="46">
        <v>15</v>
      </c>
      <c r="C33" s="47">
        <f t="shared" si="0"/>
        <v>30000</v>
      </c>
      <c r="D33" s="26"/>
      <c r="F33" s="5"/>
      <c r="G33" s="2"/>
      <c r="H33" s="2"/>
      <c r="I33" s="2"/>
      <c r="J33" s="2"/>
      <c r="K33" s="2"/>
      <c r="L33" s="2"/>
    </row>
    <row r="34" spans="1:12" ht="15.75" customHeight="1" x14ac:dyDescent="0.3">
      <c r="A34" s="40" t="s">
        <v>36</v>
      </c>
      <c r="B34" s="42" t="s">
        <v>26</v>
      </c>
      <c r="C34" s="48">
        <f>SUM(C22:C33)</f>
        <v>68031</v>
      </c>
      <c r="D34" s="26"/>
      <c r="F34" s="5"/>
      <c r="G34" s="2"/>
      <c r="H34" s="2"/>
    </row>
    <row r="35" spans="1:12" ht="15.75" customHeight="1" x14ac:dyDescent="0.3">
      <c r="A35" s="44"/>
      <c r="B35" s="37"/>
      <c r="C35" s="37"/>
      <c r="D35" s="26"/>
      <c r="F35" s="2"/>
      <c r="G35" s="2"/>
      <c r="H35" s="2"/>
    </row>
    <row r="36" spans="1:12" ht="15.75" customHeight="1" x14ac:dyDescent="0.3">
      <c r="A36" s="42" t="s">
        <v>34</v>
      </c>
      <c r="B36" s="42" t="s">
        <v>33</v>
      </c>
      <c r="C36" s="42" t="s">
        <v>25</v>
      </c>
      <c r="D36" s="26"/>
      <c r="E36" s="5"/>
      <c r="F36" s="2"/>
      <c r="G36" s="2"/>
      <c r="H36" s="2"/>
    </row>
    <row r="37" spans="1:12" ht="15.75" customHeight="1" x14ac:dyDescent="0.3">
      <c r="A37" s="40">
        <v>1</v>
      </c>
      <c r="B37" s="36">
        <v>5</v>
      </c>
      <c r="C37" s="45">
        <f>SUM(A37*B37)</f>
        <v>5</v>
      </c>
      <c r="D37" s="30"/>
      <c r="F37" s="5"/>
      <c r="G37" s="2"/>
      <c r="H37" s="2"/>
    </row>
    <row r="38" spans="1:12" ht="15.75" customHeight="1" x14ac:dyDescent="0.3">
      <c r="B38" s="44"/>
      <c r="C38" s="32"/>
      <c r="D38" s="31"/>
      <c r="F38" s="2"/>
      <c r="G38" s="2"/>
      <c r="H38" s="2"/>
    </row>
    <row r="39" spans="1:12" ht="15.75" customHeight="1" x14ac:dyDescent="0.3">
      <c r="F39" s="2"/>
      <c r="G39" s="2"/>
      <c r="H39" s="2"/>
    </row>
    <row r="40" spans="1:12" ht="15.75" customHeight="1" x14ac:dyDescent="0.3"/>
    <row r="41" spans="1:12" ht="15.75" customHeight="1" x14ac:dyDescent="0.3"/>
    <row r="42" spans="1:12" ht="15.75" customHeight="1" x14ac:dyDescent="0.3"/>
    <row r="43" spans="1:12" ht="15.75" customHeight="1" x14ac:dyDescent="0.3"/>
    <row r="44" spans="1:12" ht="15.75" customHeight="1" x14ac:dyDescent="0.3"/>
    <row r="45" spans="1:12" ht="15.75" customHeight="1" x14ac:dyDescent="0.3"/>
    <row r="46" spans="1:12" ht="15.75" customHeight="1" x14ac:dyDescent="0.3"/>
    <row r="47" spans="1:12" ht="15.75" customHeight="1" x14ac:dyDescent="0.3"/>
    <row r="48" spans="1:12" ht="15.75" customHeight="1" x14ac:dyDescent="0.3"/>
    <row r="49" spans="2:3" ht="15.75" customHeight="1" x14ac:dyDescent="0.3"/>
    <row r="50" spans="2:3" ht="15.75" customHeight="1" x14ac:dyDescent="0.3"/>
    <row r="51" spans="2:3" ht="15.75" customHeight="1" x14ac:dyDescent="0.3">
      <c r="B51" s="5"/>
    </row>
    <row r="52" spans="2:3" ht="15.75" customHeight="1" x14ac:dyDescent="0.3"/>
    <row r="53" spans="2:3" ht="15.75" customHeight="1" x14ac:dyDescent="0.3"/>
    <row r="54" spans="2:3" ht="15.75" customHeight="1" x14ac:dyDescent="0.3"/>
    <row r="55" spans="2:3" ht="15.75" customHeight="1" x14ac:dyDescent="0.3"/>
    <row r="56" spans="2:3" ht="15.75" customHeight="1" x14ac:dyDescent="0.3"/>
    <row r="57" spans="2:3" ht="15.75" customHeight="1" x14ac:dyDescent="0.3"/>
    <row r="58" spans="2:3" ht="15.75" customHeight="1" x14ac:dyDescent="0.3"/>
    <row r="59" spans="2:3" ht="15.75" customHeight="1" x14ac:dyDescent="0.3"/>
    <row r="60" spans="2:3" ht="15.75" customHeight="1" x14ac:dyDescent="0.3"/>
    <row r="61" spans="2:3" ht="15.75" customHeight="1" x14ac:dyDescent="0.3">
      <c r="C61" s="2"/>
    </row>
    <row r="62" spans="2:3" ht="15.75" customHeight="1" x14ac:dyDescent="0.3"/>
    <row r="63" spans="2:3" ht="15.75" customHeight="1" x14ac:dyDescent="0.3"/>
    <row r="64" spans="2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phoneticPr fontId="5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9"/>
  <sheetViews>
    <sheetView workbookViewId="0">
      <selection activeCell="B6" sqref="B6"/>
    </sheetView>
  </sheetViews>
  <sheetFormatPr baseColWidth="10" defaultColWidth="14.44140625" defaultRowHeight="15" customHeight="1" x14ac:dyDescent="0.3"/>
  <cols>
    <col min="1" max="1" width="14.44140625" customWidth="1"/>
    <col min="2" max="2" width="28.44140625" customWidth="1"/>
    <col min="5" max="5" width="16.5546875" bestFit="1" customWidth="1"/>
    <col min="6" max="6" width="14.109375" bestFit="1" customWidth="1"/>
    <col min="7" max="14" width="8.77734375" bestFit="1" customWidth="1"/>
    <col min="15" max="36" width="9.77734375" bestFit="1" customWidth="1"/>
    <col min="37" max="37" width="11.88671875" bestFit="1" customWidth="1"/>
  </cols>
  <sheetData>
    <row r="1" spans="1:6" ht="14.4" x14ac:dyDescent="0.3">
      <c r="A1" s="22" t="s">
        <v>1</v>
      </c>
      <c r="B1" s="23" t="s">
        <v>2</v>
      </c>
      <c r="C1" s="16" t="s">
        <v>8</v>
      </c>
    </row>
    <row r="2" spans="1:6" ht="14.4" x14ac:dyDescent="0.3">
      <c r="A2" s="19">
        <v>46082</v>
      </c>
      <c r="B2" s="18"/>
      <c r="C2" s="17" t="s">
        <v>9</v>
      </c>
      <c r="E2" s="24" t="s">
        <v>5</v>
      </c>
      <c r="F2" t="s">
        <v>7</v>
      </c>
    </row>
    <row r="3" spans="1:6" ht="14.4" x14ac:dyDescent="0.3">
      <c r="A3" s="19">
        <v>46083</v>
      </c>
      <c r="B3" s="18" t="s">
        <v>3</v>
      </c>
      <c r="C3" s="17" t="s">
        <v>10</v>
      </c>
      <c r="E3" s="25" t="s">
        <v>4</v>
      </c>
      <c r="F3">
        <v>3</v>
      </c>
    </row>
    <row r="4" spans="1:6" ht="14.4" x14ac:dyDescent="0.3">
      <c r="A4" s="19">
        <v>46084</v>
      </c>
      <c r="B4" s="18" t="s">
        <v>3</v>
      </c>
      <c r="C4" s="17" t="s">
        <v>11</v>
      </c>
      <c r="E4" s="25" t="s">
        <v>3</v>
      </c>
      <c r="F4">
        <v>28</v>
      </c>
    </row>
    <row r="5" spans="1:6" ht="14.4" x14ac:dyDescent="0.3">
      <c r="A5" s="19">
        <v>46085</v>
      </c>
      <c r="B5" s="18" t="s">
        <v>3</v>
      </c>
      <c r="C5" s="17" t="s">
        <v>12</v>
      </c>
      <c r="E5" s="25" t="s">
        <v>6</v>
      </c>
      <c r="F5">
        <v>31</v>
      </c>
    </row>
    <row r="6" spans="1:6" ht="14.4" x14ac:dyDescent="0.3">
      <c r="A6" s="19">
        <v>46086</v>
      </c>
      <c r="B6" s="18" t="s">
        <v>3</v>
      </c>
      <c r="C6" s="17" t="s">
        <v>13</v>
      </c>
    </row>
    <row r="7" spans="1:6" ht="14.4" x14ac:dyDescent="0.3">
      <c r="A7" s="19">
        <v>46087</v>
      </c>
      <c r="B7" s="18" t="s">
        <v>3</v>
      </c>
      <c r="C7" s="17" t="s">
        <v>14</v>
      </c>
    </row>
    <row r="8" spans="1:6" ht="14.4" x14ac:dyDescent="0.3">
      <c r="A8" s="19">
        <v>46088</v>
      </c>
      <c r="B8" s="18" t="s">
        <v>3</v>
      </c>
      <c r="C8" s="17" t="s">
        <v>16</v>
      </c>
    </row>
    <row r="9" spans="1:6" ht="14.4" x14ac:dyDescent="0.3">
      <c r="A9" s="19">
        <v>46089</v>
      </c>
      <c r="B9" s="18"/>
      <c r="C9" s="17" t="s">
        <v>9</v>
      </c>
    </row>
    <row r="10" spans="1:6" ht="14.4" x14ac:dyDescent="0.3">
      <c r="A10" s="19">
        <v>46090</v>
      </c>
      <c r="B10" s="18" t="s">
        <v>3</v>
      </c>
      <c r="C10" s="17" t="s">
        <v>10</v>
      </c>
    </row>
    <row r="11" spans="1:6" ht="14.4" x14ac:dyDescent="0.3">
      <c r="A11" s="19">
        <v>46091</v>
      </c>
      <c r="B11" s="18" t="s">
        <v>3</v>
      </c>
      <c r="C11" s="17" t="s">
        <v>11</v>
      </c>
    </row>
    <row r="12" spans="1:6" ht="14.4" x14ac:dyDescent="0.3">
      <c r="A12" s="19">
        <v>46092</v>
      </c>
      <c r="B12" s="18" t="s">
        <v>4</v>
      </c>
      <c r="C12" s="17" t="s">
        <v>12</v>
      </c>
    </row>
    <row r="13" spans="1:6" ht="14.4" x14ac:dyDescent="0.3">
      <c r="A13" s="19">
        <v>46093</v>
      </c>
      <c r="B13" s="18" t="s">
        <v>3</v>
      </c>
      <c r="C13" s="17" t="s">
        <v>13</v>
      </c>
    </row>
    <row r="14" spans="1:6" ht="14.4" x14ac:dyDescent="0.3">
      <c r="A14" s="19">
        <v>46094</v>
      </c>
      <c r="B14" s="18" t="s">
        <v>4</v>
      </c>
      <c r="C14" s="17" t="s">
        <v>14</v>
      </c>
    </row>
    <row r="15" spans="1:6" ht="14.4" x14ac:dyDescent="0.3">
      <c r="A15" s="19">
        <v>46095</v>
      </c>
      <c r="B15" s="18" t="s">
        <v>15</v>
      </c>
      <c r="C15" s="17" t="s">
        <v>16</v>
      </c>
    </row>
    <row r="16" spans="1:6" ht="14.4" x14ac:dyDescent="0.3">
      <c r="A16" s="19">
        <v>46096</v>
      </c>
      <c r="B16" s="18"/>
      <c r="C16" s="17" t="s">
        <v>9</v>
      </c>
    </row>
    <row r="17" spans="1:3" ht="14.4" x14ac:dyDescent="0.3">
      <c r="A17" s="19">
        <v>46097</v>
      </c>
      <c r="B17" s="18"/>
      <c r="C17" s="17" t="s">
        <v>10</v>
      </c>
    </row>
    <row r="18" spans="1:3" ht="14.4" x14ac:dyDescent="0.3">
      <c r="A18" s="19">
        <v>46098</v>
      </c>
      <c r="B18" s="18"/>
      <c r="C18" s="17" t="s">
        <v>11</v>
      </c>
    </row>
    <row r="19" spans="1:3" ht="14.4" x14ac:dyDescent="0.3">
      <c r="A19" s="19">
        <v>46099</v>
      </c>
      <c r="B19" s="18"/>
      <c r="C19" s="17" t="s">
        <v>12</v>
      </c>
    </row>
    <row r="20" spans="1:3" ht="15.75" customHeight="1" x14ac:dyDescent="0.3">
      <c r="A20" s="19">
        <v>46100</v>
      </c>
      <c r="B20" s="18"/>
      <c r="C20" s="17" t="s">
        <v>13</v>
      </c>
    </row>
    <row r="21" spans="1:3" ht="15.75" customHeight="1" x14ac:dyDescent="0.3">
      <c r="A21" s="19">
        <v>46101</v>
      </c>
      <c r="B21" s="18"/>
      <c r="C21" s="17" t="s">
        <v>14</v>
      </c>
    </row>
    <row r="22" spans="1:3" ht="15.75" customHeight="1" x14ac:dyDescent="0.3">
      <c r="A22" s="19">
        <v>46102</v>
      </c>
      <c r="B22" s="18"/>
      <c r="C22" s="17" t="s">
        <v>16</v>
      </c>
    </row>
    <row r="23" spans="1:3" ht="15.75" customHeight="1" x14ac:dyDescent="0.3">
      <c r="A23" s="19">
        <v>46103</v>
      </c>
      <c r="B23" s="18"/>
      <c r="C23" s="17" t="s">
        <v>9</v>
      </c>
    </row>
    <row r="24" spans="1:3" ht="15.75" customHeight="1" x14ac:dyDescent="0.3">
      <c r="A24" s="19">
        <v>46104</v>
      </c>
      <c r="B24" s="18"/>
      <c r="C24" s="17" t="s">
        <v>10</v>
      </c>
    </row>
    <row r="25" spans="1:3" ht="15.75" customHeight="1" x14ac:dyDescent="0.3">
      <c r="A25" s="19">
        <v>46105</v>
      </c>
      <c r="B25" s="18"/>
      <c r="C25" s="17" t="s">
        <v>11</v>
      </c>
    </row>
    <row r="26" spans="1:3" ht="15.75" customHeight="1" x14ac:dyDescent="0.3">
      <c r="A26" s="19">
        <v>46106</v>
      </c>
      <c r="B26" s="18"/>
      <c r="C26" s="17" t="s">
        <v>12</v>
      </c>
    </row>
    <row r="27" spans="1:3" ht="15.75" customHeight="1" x14ac:dyDescent="0.3">
      <c r="A27" s="19">
        <v>46107</v>
      </c>
      <c r="B27" s="18"/>
      <c r="C27" s="17" t="s">
        <v>13</v>
      </c>
    </row>
    <row r="28" spans="1:3" ht="15.75" customHeight="1" x14ac:dyDescent="0.3">
      <c r="A28" s="19">
        <v>46108</v>
      </c>
      <c r="B28" s="18"/>
      <c r="C28" s="17" t="s">
        <v>14</v>
      </c>
    </row>
    <row r="29" spans="1:3" ht="15.75" customHeight="1" x14ac:dyDescent="0.3">
      <c r="A29" s="19">
        <v>46109</v>
      </c>
      <c r="B29" s="18"/>
      <c r="C29" s="17" t="s">
        <v>16</v>
      </c>
    </row>
    <row r="30" spans="1:3" ht="15.75" customHeight="1" x14ac:dyDescent="0.3">
      <c r="A30" s="19">
        <v>46110</v>
      </c>
      <c r="B30" s="18"/>
      <c r="C30" s="17" t="s">
        <v>9</v>
      </c>
    </row>
    <row r="31" spans="1:3" ht="15.75" customHeight="1" x14ac:dyDescent="0.3">
      <c r="A31" s="19">
        <v>46111</v>
      </c>
      <c r="B31" s="18"/>
      <c r="C31" s="17" t="s">
        <v>10</v>
      </c>
    </row>
    <row r="32" spans="1:3" ht="15.75" customHeight="1" x14ac:dyDescent="0.3">
      <c r="A32" s="20">
        <v>46112</v>
      </c>
      <c r="B32" s="21"/>
      <c r="C32" s="15" t="s">
        <v>11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paperSize="9" orientation="portrait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Caja</vt:lpstr>
      <vt:lpstr>Ast. 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Da Rosa</dc:creator>
  <cp:lastModifiedBy>Lani Dekujako</cp:lastModifiedBy>
  <dcterms:created xsi:type="dcterms:W3CDTF">2023-11-24T16:01:44Z</dcterms:created>
  <dcterms:modified xsi:type="dcterms:W3CDTF">2026-06-14T23:47:57Z</dcterms:modified>
</cp:coreProperties>
</file>